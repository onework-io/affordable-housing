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報價單" sheetId="1" state="visible" r:id="rId3"/>
    <sheet name="價格對照" sheetId="2" state="visible" r:id="rId4"/>
    <sheet name="PoC對照" sheetId="3" state="visible" r:id="rId5"/>
    <sheet name="補強建議" sheetId="4" state="visible" r:id="rId6"/>
    <sheet name="合理性估算" sheetId="5" state="visible" r:id="rId7"/>
  </sheets>
  <definedNames>
    <definedName function="false" hidden="false" localSheetId="0" name="_xlnm.Print_Area" vbProcedure="false">報價單!$A$1:$G$19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Noto Sans CJK SC"/>
            <family val="2"/>
          </rPr>
          <t xml:space="preserve">使用者指示：打 </t>
        </r>
        <r>
          <rPr>
            <sz val="10"/>
            <rFont val="Arial"/>
            <family val="2"/>
          </rPr>
          <t xml:space="preserve">85 </t>
        </r>
        <r>
          <rPr>
            <sz val="10"/>
            <rFont val="Noto Sans CJK SC"/>
            <family val="2"/>
          </rPr>
          <t xml:space="preserve">折，讓利 </t>
        </r>
        <r>
          <rPr>
            <sz val="10"/>
            <rFont val="Arial"/>
            <family val="2"/>
          </rPr>
          <t xml:space="preserve">15% </t>
        </r>
        <r>
          <rPr>
            <sz val="10"/>
            <rFont val="Noto Sans CJK SC"/>
            <family val="2"/>
          </rPr>
          <t xml:space="preserve">給台灣固網。改這一格，全部新價格自動更新。</t>
        </r>
      </text>
    </comment>
    <comment ref="C6" authorId="0">
      <text>
        <r>
          <rPr>
            <sz val="10"/>
            <rFont val="Noto Sans CJK SC"/>
            <family val="2"/>
          </rPr>
          <t xml:space="preserve">來源：三維圖台提案簡報</t>
        </r>
        <r>
          <rPr>
            <sz val="10"/>
            <rFont val="Arial"/>
            <family val="2"/>
          </rPr>
          <t xml:space="preserve">_</t>
        </r>
        <r>
          <rPr>
            <sz val="10"/>
            <rFont val="Noto Sans CJK SC"/>
            <family val="2"/>
          </rPr>
          <t xml:space="preserve">提供</t>
        </r>
        <r>
          <rPr>
            <sz val="10"/>
            <rFont val="Arial"/>
            <family val="2"/>
          </rPr>
          <t xml:space="preserve">V2</t>
        </r>
        <r>
          <rPr>
            <sz val="10"/>
            <rFont val="Noto Sans CJK SC"/>
            <family val="2"/>
          </rPr>
          <t xml:space="preserve">「建置期程約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個月，作為暫定規劃」</t>
        </r>
      </text>
    </comment>
  </commentList>
</comments>
</file>

<file path=xl/sharedStrings.xml><?xml version="1.0" encoding="utf-8"?>
<sst xmlns="http://schemas.openxmlformats.org/spreadsheetml/2006/main" count="187" uniqueCount="151">
  <si>
    <t xml:space="preserve">報價單</t>
  </si>
  <si>
    <t xml:space="preserve">專案名稱</t>
  </si>
  <si>
    <t xml:space="preserve">桃園市可負擔住宅三維圖台系統建置案</t>
  </si>
  <si>
    <t xml:space="preserve">提供對象</t>
  </si>
  <si>
    <t xml:space="preserve">台灣固網</t>
  </si>
  <si>
    <t xml:space="preserve">項次</t>
  </si>
  <si>
    <t xml:space="preserve">項目</t>
  </si>
  <si>
    <t xml:space="preserve">單位</t>
  </si>
  <si>
    <t xml:space="preserve">數量</t>
  </si>
  <si>
    <t xml:space="preserve">單價（元）</t>
  </si>
  <si>
    <t xml:space="preserve">總價（元）</t>
  </si>
  <si>
    <t xml:space="preserve">備註</t>
  </si>
  <si>
    <t xml:space="preserve">一</t>
  </si>
  <si>
    <r>
      <rPr>
        <sz val="11"/>
        <rFont val="Arial"/>
        <family val="0"/>
        <charset val="1"/>
      </rPr>
      <t xml:space="preserve">2D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圖台建置費用</t>
    </r>
  </si>
  <si>
    <t xml:space="preserve">式</t>
  </si>
  <si>
    <r>
      <rPr>
        <sz val="11"/>
        <rFont val="Noto Sans CJK SC"/>
        <family val="2"/>
      </rPr>
      <t xml:space="preserve">費用包含
</t>
    </r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圖台入口與介面設計。
</t>
    </r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二維圖台開發。
</t>
    </r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三維圖台開發。
</t>
    </r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三維圖資確認整備及住宅對應。
</t>
    </r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自訂生活圈分析。
</t>
    </r>
    <r>
      <rPr>
        <sz val="11"/>
        <rFont val="Arial"/>
        <family val="0"/>
        <charset val="1"/>
      </rPr>
      <t xml:space="preserve">6. </t>
    </r>
    <r>
      <rPr>
        <sz val="11"/>
        <rFont val="Noto Sans CJK SC"/>
        <family val="2"/>
      </rPr>
      <t xml:space="preserve">住宅資訊及環景串接。
</t>
    </r>
    <r>
      <rPr>
        <sz val="11"/>
        <rFont val="Arial"/>
        <family val="0"/>
        <charset val="1"/>
      </rPr>
      <t xml:space="preserve">7. </t>
    </r>
    <r>
      <rPr>
        <sz val="11"/>
        <rFont val="Noto Sans CJK SC"/>
        <family val="2"/>
      </rPr>
      <t xml:space="preserve">生活設施圖層及查詢。
</t>
    </r>
    <r>
      <rPr>
        <sz val="11"/>
        <rFont val="Arial"/>
        <family val="0"/>
        <charset val="1"/>
      </rPr>
      <t xml:space="preserve">8. </t>
    </r>
    <r>
      <rPr>
        <sz val="11"/>
        <rFont val="Noto Sans CJK SC"/>
        <family val="2"/>
      </rPr>
      <t xml:space="preserve">網頁 </t>
    </r>
    <r>
      <rPr>
        <sz val="11"/>
        <rFont val="Arial"/>
        <family val="0"/>
        <charset val="1"/>
      </rPr>
      <t xml:space="preserve">UI/UX </t>
    </r>
    <r>
      <rPr>
        <sz val="11"/>
        <rFont val="Noto Sans CJK SC"/>
        <family val="2"/>
      </rPr>
      <t xml:space="preserve">設計。
</t>
    </r>
    <r>
      <rPr>
        <sz val="11"/>
        <rFont val="Arial"/>
        <family val="0"/>
        <charset val="1"/>
      </rPr>
      <t xml:space="preserve">9. </t>
    </r>
    <r>
      <rPr>
        <sz val="11"/>
        <rFont val="Noto Sans CJK SC"/>
        <family val="2"/>
      </rPr>
      <t xml:space="preserve">網站使用者及維護操作手冊。
</t>
    </r>
    <r>
      <rPr>
        <sz val="11"/>
        <rFont val="Arial"/>
        <family val="0"/>
        <charset val="1"/>
      </rPr>
      <t xml:space="preserve">10. </t>
    </r>
    <r>
      <rPr>
        <sz val="11"/>
        <rFont val="Noto Sans CJK SC"/>
        <family val="2"/>
      </rPr>
      <t xml:space="preserve">系統測試計劃書以及壓力測試。</t>
    </r>
  </si>
  <si>
    <t xml:space="preserve">二</t>
  </si>
  <si>
    <t xml:space="preserve">系統圖層管理平台建置費用</t>
  </si>
  <si>
    <r>
      <rPr>
        <sz val="11"/>
        <rFont val="Noto Sans CJK SC"/>
        <family val="2"/>
      </rPr>
      <t xml:space="preserve">費用包含
</t>
    </r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社區、戶別及建物對應、上傳管理。
</t>
    </r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圖層及生活設施管理。
</t>
    </r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平台介接及更新管理。
</t>
    </r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權限、紀錄及營運管理。</t>
    </r>
  </si>
  <si>
    <t xml:space="preserve">三</t>
  </si>
  <si>
    <t xml:space="preserve">系統資訊安全與租用雲端伺服器</t>
  </si>
  <si>
    <r>
      <rPr>
        <sz val="11"/>
        <rFont val="Noto Sans CJK SC"/>
        <family val="2"/>
      </rPr>
      <t xml:space="preserve">費用包含
</t>
    </r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系統資訊安全。
</t>
    </r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租用雲端伺服器費用。
</t>
    </r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資安檢測報告。</t>
    </r>
  </si>
  <si>
    <t xml:space="preserve">四</t>
  </si>
  <si>
    <t xml:space="preserve">專案管理</t>
  </si>
  <si>
    <t xml:space="preserve">五</t>
  </si>
  <si>
    <t xml:space="preserve">行政管理費及雜支</t>
  </si>
  <si>
    <t xml:space="preserve">稅前合計</t>
  </si>
  <si>
    <t xml:space="preserve">總計（含稅金）</t>
  </si>
  <si>
    <t xml:space="preserve">說明</t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</si>
  <si>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金額以新臺幣計，各項金額四捨五入至元。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</si>
  <si>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建置期程約 </t>
    </r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個月（暫定），依模型交付及資料介接條件再確認。</t>
    </r>
  </si>
  <si>
    <r>
      <rPr>
        <b val="true"/>
        <sz val="14"/>
        <color rgb="FF047857"/>
        <rFont val="Noto Sans CJK SC"/>
        <family val="2"/>
      </rPr>
      <t xml:space="preserve">新價格對照（打 </t>
    </r>
    <r>
      <rPr>
        <b val="true"/>
        <sz val="14"/>
        <color rgb="FF047857"/>
        <rFont val="Arial"/>
        <family val="0"/>
        <charset val="1"/>
      </rPr>
      <t xml:space="preserve">85 </t>
    </r>
    <r>
      <rPr>
        <b val="true"/>
        <sz val="14"/>
        <color rgb="FF047857"/>
        <rFont val="Noto Sans CJK SC"/>
        <family val="2"/>
      </rPr>
      <t xml:space="preserve">折，讓利 </t>
    </r>
    <r>
      <rPr>
        <b val="true"/>
        <sz val="14"/>
        <color rgb="FF047857"/>
        <rFont val="Arial"/>
        <family val="0"/>
        <charset val="1"/>
      </rPr>
      <t xml:space="preserve">15% </t>
    </r>
    <r>
      <rPr>
        <b val="true"/>
        <sz val="14"/>
        <color rgb="FF047857"/>
        <rFont val="Noto Sans CJK SC"/>
        <family val="2"/>
      </rPr>
      <t xml:space="preserve">給台灣固網）</t>
    </r>
  </si>
  <si>
    <r>
      <rPr>
        <i val="true"/>
        <sz val="9"/>
        <color rgb="FF6B7280"/>
        <rFont val="Noto Sans CJK SC"/>
        <family val="2"/>
      </rPr>
      <t xml:space="preserve">藍字＝輸入（原報價取自 桃園市可負擔住宅三維圖台</t>
    </r>
    <r>
      <rPr>
        <i val="true"/>
        <sz val="9"/>
        <color rgb="FF6B7280"/>
        <rFont val="Arial"/>
        <family val="0"/>
        <charset val="1"/>
      </rPr>
      <t xml:space="preserve">_</t>
    </r>
    <r>
      <rPr>
        <i val="true"/>
        <sz val="9"/>
        <color rgb="FF6B7280"/>
        <rFont val="Noto Sans CJK SC"/>
        <family val="2"/>
      </rPr>
      <t xml:space="preserve">報價單</t>
    </r>
    <r>
      <rPr>
        <i val="true"/>
        <sz val="9"/>
        <color rgb="FF6B7280"/>
        <rFont val="Arial"/>
        <family val="0"/>
        <charset val="1"/>
      </rPr>
      <t xml:space="preserve">_1151008.pdf</t>
    </r>
    <r>
      <rPr>
        <i val="true"/>
        <sz val="9"/>
        <color rgb="FF6B7280"/>
        <rFont val="Noto Sans CJK SC"/>
        <family val="2"/>
      </rPr>
      <t xml:space="preserve">）；黑字＝公式；黃底＝可調整</t>
    </r>
  </si>
  <si>
    <t xml:space="preserve">讓利比例</t>
  </si>
  <si>
    <t xml:space="preserve">營業稅率</t>
  </si>
  <si>
    <t xml:space="preserve">建置期（月）</t>
  </si>
  <si>
    <t xml:space="preserve">新價格（元）</t>
  </si>
  <si>
    <t xml:space="preserve">占比</t>
  </si>
  <si>
    <t xml:space="preserve">原報價（元）</t>
  </si>
  <si>
    <t xml:space="preserve">讓利金額（元）</t>
  </si>
  <si>
    <r>
      <rPr>
        <sz val="11"/>
        <color theme="1"/>
        <rFont val="Arial"/>
        <family val="0"/>
        <charset val="1"/>
      </rPr>
      <t xml:space="preserve">2D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3D </t>
    </r>
    <r>
      <rPr>
        <sz val="11"/>
        <color theme="1"/>
        <rFont val="Noto Sans CJK SC"/>
        <family val="2"/>
      </rPr>
      <t xml:space="preserve">圖台建置費用</t>
    </r>
  </si>
  <si>
    <t xml:space="preserve">營業稅</t>
  </si>
  <si>
    <t xml:space="preserve">含稅總計</t>
  </si>
  <si>
    <t xml:space="preserve">核對：原報價單所載總計</t>
  </si>
  <si>
    <r>
      <rPr>
        <sz val="11"/>
        <color theme="1"/>
        <rFont val="Noto Sans CJK SC"/>
        <family val="2"/>
      </rPr>
      <t xml:space="preserve">核對差額（應為 </t>
    </r>
    <r>
      <rPr>
        <sz val="11"/>
        <color theme="1"/>
        <rFont val="Arial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</si>
  <si>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彙總指標（新價格）</t>
  </si>
  <si>
    <t xml:space="preserve">指標</t>
  </si>
  <si>
    <t xml:space="preserve">差額（元）</t>
  </si>
  <si>
    <t xml:space="preserve">開發費用（一＋二）</t>
  </si>
  <si>
    <t xml:space="preserve">資安＋雲端（三）</t>
  </si>
  <si>
    <t xml:space="preserve">管理類費用（四＋五）</t>
  </si>
  <si>
    <t xml:space="preserve">每月平均（未稅）</t>
  </si>
  <si>
    <r>
      <rPr>
        <b val="true"/>
        <sz val="14"/>
        <color rgb="FF047857"/>
        <rFont val="Noto Sans CJK SC"/>
        <family val="2"/>
      </rPr>
      <t xml:space="preserve">報價內容 </t>
    </r>
    <r>
      <rPr>
        <b val="true"/>
        <sz val="14"/>
        <color rgb="FF047857"/>
        <rFont val="Arial"/>
        <family val="0"/>
        <charset val="1"/>
      </rPr>
      <t xml:space="preserve">× PoC </t>
    </r>
    <r>
      <rPr>
        <b val="true"/>
        <sz val="14"/>
        <color rgb="FF047857"/>
        <rFont val="Noto Sans CJK SC"/>
        <family val="2"/>
      </rPr>
      <t xml:space="preserve">完成狀況</t>
    </r>
  </si>
  <si>
    <r>
      <rPr>
        <i val="true"/>
        <sz val="9"/>
        <color rgb="FF6B7280"/>
        <rFont val="Arial"/>
        <family val="0"/>
        <charset val="1"/>
      </rPr>
      <t xml:space="preserve">PoC</t>
    </r>
    <r>
      <rPr>
        <i val="true"/>
        <sz val="9"/>
        <color rgb="FF6B7280"/>
        <rFont val="Noto Sans CJK SC"/>
        <family val="2"/>
      </rPr>
      <t xml:space="preserve">＝目前已完成的概念驗證版本；新價格欄連結「價格對照」</t>
    </r>
  </si>
  <si>
    <t xml:space="preserve">報價項次</t>
  </si>
  <si>
    <t xml:space="preserve">報價內容</t>
  </si>
  <si>
    <r>
      <rPr>
        <b val="true"/>
        <sz val="11"/>
        <color rgb="FFFFFFFF"/>
        <rFont val="Arial"/>
        <family val="0"/>
        <charset val="1"/>
      </rPr>
      <t xml:space="preserve">PoC </t>
    </r>
    <r>
      <rPr>
        <b val="true"/>
        <sz val="11"/>
        <color rgb="FFFFFFFF"/>
        <rFont val="Noto Sans CJK SC"/>
        <family val="2"/>
      </rPr>
      <t xml:space="preserve">狀態</t>
    </r>
  </si>
  <si>
    <t xml:space="preserve">剩下的工作</t>
  </si>
  <si>
    <r>
      <rPr>
        <sz val="11"/>
        <rFont val="Noto Sans CJK SC"/>
        <family val="2"/>
      </rPr>
      <t xml:space="preserve">一</t>
    </r>
    <r>
      <rPr>
        <sz val="11"/>
        <rFont val="Arial"/>
        <family val="0"/>
        <charset val="1"/>
      </rPr>
      <t xml:space="preserve">-1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</si>
  <si>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入口、</t>
    </r>
    <r>
      <rPr>
        <sz val="11"/>
        <rFont val="Arial"/>
        <family val="0"/>
        <charset val="1"/>
      </rPr>
      <t xml:space="preserve">2D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圖台</t>
    </r>
  </si>
  <si>
    <t xml:space="preserve">已做出</t>
  </si>
  <si>
    <r>
      <rPr>
        <sz val="11"/>
        <rFont val="Noto Sans CJK SC"/>
        <family val="2"/>
      </rPr>
      <t xml:space="preserve">正式版的介面設計與 </t>
    </r>
    <r>
      <rPr>
        <sz val="11"/>
        <rFont val="Arial"/>
        <family val="0"/>
        <charset val="1"/>
      </rPr>
      <t xml:space="preserve">RWD</t>
    </r>
    <r>
      <rPr>
        <sz val="11"/>
        <rFont val="Noto Sans CJK SC"/>
        <family val="2"/>
      </rPr>
      <t xml:space="preserve">（手機、平板版面）</t>
    </r>
  </si>
  <si>
    <r>
      <rPr>
        <sz val="11"/>
        <rFont val="Noto Sans CJK SC"/>
        <family val="2"/>
      </rPr>
      <t xml:space="preserve">一</t>
    </r>
    <r>
      <rPr>
        <sz val="11"/>
        <rFont val="Arial"/>
        <family val="0"/>
        <charset val="1"/>
      </rPr>
      <t xml:space="preserve">-4</t>
    </r>
  </si>
  <si>
    <t xml:space="preserve">三維圖資整備、住宅對應</t>
  </si>
  <si>
    <t xml:space="preserve">已用香港案的模型驗證流程</t>
  </si>
  <si>
    <r>
      <rPr>
        <sz val="11"/>
        <rFont val="Noto Sans CJK SC"/>
        <family val="2"/>
      </rPr>
      <t xml:space="preserve">實際接收建商的 </t>
    </r>
    <r>
      <rPr>
        <sz val="11"/>
        <rFont val="Arial"/>
        <family val="0"/>
        <charset val="1"/>
      </rPr>
      <t xml:space="preserve">BIM </t>
    </r>
    <r>
      <rPr>
        <sz val="11"/>
        <rFont val="Noto Sans CJK SC"/>
        <family val="2"/>
      </rPr>
      <t xml:space="preserve">模型並轉檔，數量未定</t>
    </r>
  </si>
  <si>
    <r>
      <rPr>
        <sz val="11"/>
        <rFont val="Noto Sans CJK SC"/>
        <family val="2"/>
      </rPr>
      <t xml:space="preserve">一</t>
    </r>
    <r>
      <rPr>
        <sz val="11"/>
        <rFont val="Arial"/>
        <family val="0"/>
        <charset val="1"/>
      </rPr>
      <t xml:space="preserve">-5</t>
    </r>
  </si>
  <si>
    <t xml:space="preserve">自訂生活圈</t>
  </si>
  <si>
    <t xml:space="preserve">已完成</t>
  </si>
  <si>
    <r>
      <rPr>
        <sz val="11"/>
        <rFont val="Noto Sans CJK SC"/>
        <family val="2"/>
      </rPr>
      <t xml:space="preserve">改由後端以 </t>
    </r>
    <r>
      <rPr>
        <sz val="11"/>
        <rFont val="Arial"/>
        <family val="0"/>
        <charset val="1"/>
      </rPr>
      <t xml:space="preserve">PostGIS</t>
    </r>
    <r>
      <rPr>
        <sz val="11"/>
        <rFont val="Noto Sans CJK SC"/>
        <family val="2"/>
      </rPr>
      <t xml:space="preserve">（空間資料庫）計算</t>
    </r>
  </si>
  <si>
    <r>
      <rPr>
        <sz val="11"/>
        <rFont val="Noto Sans CJK SC"/>
        <family val="2"/>
      </rPr>
      <t xml:space="preserve">一</t>
    </r>
    <r>
      <rPr>
        <sz val="11"/>
        <rFont val="Arial"/>
        <family val="0"/>
        <charset val="1"/>
      </rPr>
      <t xml:space="preserve">-6</t>
    </r>
  </si>
  <si>
    <t xml:space="preserve">住宅資訊、環景串接</t>
  </si>
  <si>
    <t xml:space="preserve">已做連結</t>
  </si>
  <si>
    <r>
      <rPr>
        <sz val="11"/>
        <rFont val="Noto Sans CJK SC"/>
        <family val="2"/>
      </rPr>
      <t xml:space="preserve">串接正式交易平台和 </t>
    </r>
    <r>
      <rPr>
        <sz val="11"/>
        <rFont val="Arial"/>
        <family val="0"/>
        <charset val="1"/>
      </rPr>
      <t xml:space="preserve">720 </t>
    </r>
    <r>
      <rPr>
        <sz val="11"/>
        <rFont val="Noto Sans CJK SC"/>
        <family val="2"/>
      </rPr>
      <t xml:space="preserve">環景平台的資料</t>
    </r>
  </si>
  <si>
    <r>
      <rPr>
        <sz val="11"/>
        <rFont val="Noto Sans CJK SC"/>
        <family val="2"/>
      </rPr>
      <t xml:space="preserve">一</t>
    </r>
    <r>
      <rPr>
        <sz val="11"/>
        <rFont val="Arial"/>
        <family val="0"/>
        <charset val="1"/>
      </rPr>
      <t xml:space="preserve">-7</t>
    </r>
  </si>
  <si>
    <t xml:space="preserve">生活設施圖層</t>
  </si>
  <si>
    <t xml:space="preserve">已做（示範資料）</t>
  </si>
  <si>
    <t xml:space="preserve">匯入真實設施資料</t>
  </si>
  <si>
    <t xml:space="preserve">（未列名）</t>
  </si>
  <si>
    <t xml:space="preserve">條件篩選、社區比較</t>
  </si>
  <si>
    <t xml:space="preserve">報價單沒有列名，建議補進第一項</t>
  </si>
  <si>
    <r>
      <rPr>
        <sz val="11"/>
        <rFont val="Noto Sans CJK SC"/>
        <family val="2"/>
      </rPr>
      <t xml:space="preserve">一</t>
    </r>
    <r>
      <rPr>
        <sz val="11"/>
        <rFont val="Arial"/>
        <family val="0"/>
        <charset val="1"/>
      </rPr>
      <t xml:space="preserve">-8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10</t>
    </r>
  </si>
  <si>
    <r>
      <rPr>
        <sz val="11"/>
        <rFont val="Arial"/>
        <family val="0"/>
        <charset val="1"/>
      </rPr>
      <t xml:space="preserve">UI/UX</t>
    </r>
    <r>
      <rPr>
        <sz val="11"/>
        <rFont val="Noto Sans CJK SC"/>
        <family val="2"/>
      </rPr>
      <t xml:space="preserve">、手冊、測試計畫、壓力測試</t>
    </r>
  </si>
  <si>
    <t xml:space="preserve">尚未開始</t>
  </si>
  <si>
    <t xml:space="preserve">全部</t>
  </si>
  <si>
    <t xml:space="preserve">後台管理</t>
  </si>
  <si>
    <t xml:space="preserve">介面已完成，資料暫存瀏覽器</t>
  </si>
  <si>
    <r>
      <rPr>
        <sz val="11"/>
        <rFont val="Noto Sans CJK SC"/>
        <family val="2"/>
      </rPr>
      <t xml:space="preserve">資料庫、</t>
    </r>
    <r>
      <rPr>
        <sz val="11"/>
        <rFont val="Arial"/>
        <family val="0"/>
        <charset val="1"/>
      </rPr>
      <t xml:space="preserve">API</t>
    </r>
    <r>
      <rPr>
        <sz val="11"/>
        <rFont val="Noto Sans CJK SC"/>
        <family val="2"/>
      </rPr>
      <t xml:space="preserve">、帳號登入與權限</t>
    </r>
  </si>
  <si>
    <t xml:space="preserve">資安、雲端</t>
  </si>
  <si>
    <r>
      <rPr>
        <sz val="9"/>
        <color rgb="FF6B7280"/>
        <rFont val="Noto Sans CJK SC"/>
        <family val="2"/>
      </rPr>
      <t xml:space="preserve">第一項（一</t>
    </r>
    <r>
      <rPr>
        <sz val="9"/>
        <color rgb="FF6B7280"/>
        <rFont val="Arial"/>
        <family val="0"/>
        <charset val="1"/>
      </rPr>
      <t xml:space="preserve">-1</t>
    </r>
    <r>
      <rPr>
        <sz val="9"/>
        <color rgb="FF6B7280"/>
        <rFont val="Noto Sans CJK SC"/>
        <family val="2"/>
      </rPr>
      <t xml:space="preserve">～一</t>
    </r>
    <r>
      <rPr>
        <sz val="9"/>
        <color rgb="FF6B7280"/>
        <rFont val="Arial"/>
        <family val="0"/>
        <charset val="1"/>
      </rPr>
      <t xml:space="preserve">-10 </t>
    </r>
    <r>
      <rPr>
        <sz val="9"/>
        <color rgb="FF6B7280"/>
        <rFont val="Noto Sans CJK SC"/>
        <family val="2"/>
      </rPr>
      <t xml:space="preserve">及條件篩選）共用同一筆新價格。圖例：綠＝已完成；黃＝部分完成；灰＝尚未開始。</t>
    </r>
  </si>
  <si>
    <t xml:space="preserve">建議補強的地方（以新價格檢視）</t>
  </si>
  <si>
    <t xml:space="preserve">相關金額欄連結「價格對照」</t>
  </si>
  <si>
    <t xml:space="preserve">#</t>
  </si>
  <si>
    <t xml:space="preserve">主題</t>
  </si>
  <si>
    <t xml:space="preserve">相關項次</t>
  </si>
  <si>
    <t xml:space="preserve">相關新價格（元）</t>
  </si>
  <si>
    <t xml:space="preserve">問題</t>
  </si>
  <si>
    <t xml:space="preserve">建議</t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</si>
  <si>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模型數量沒有上限</t>
    </r>
  </si>
  <si>
    <r>
      <rPr>
        <sz val="11"/>
        <rFont val="Noto Sans CJK SC"/>
        <family val="2"/>
      </rPr>
      <t xml:space="preserve">「三維圖資確認整備」沒寫要處理幾個社區、幾棟建物；每棟 </t>
    </r>
    <r>
      <rPr>
        <sz val="11"/>
        <rFont val="Arial"/>
        <family val="0"/>
        <charset val="1"/>
      </rPr>
      <t xml:space="preserve">BIM </t>
    </r>
    <r>
      <rPr>
        <sz val="11"/>
        <rFont val="Noto Sans CJK SC"/>
        <family val="2"/>
      </rPr>
      <t xml:space="preserve">品質不同，轉檔工時差很多。打折後開發預算更緊。</t>
    </r>
  </si>
  <si>
    <r>
      <rPr>
        <sz val="11"/>
        <rFont val="Noto Sans CJK SC"/>
        <family val="2"/>
      </rPr>
      <t xml:space="preserve">寫明本期包含 </t>
    </r>
    <r>
      <rPr>
        <sz val="11"/>
        <rFont val="Arial"/>
        <family val="0"/>
        <charset val="1"/>
      </rPr>
      <t xml:space="preserve">N </t>
    </r>
    <r>
      <rPr>
        <sz val="11"/>
        <rFont val="Noto Sans CJK SC"/>
        <family val="2"/>
      </rPr>
      <t xml:space="preserve">個社區，超出另以每棟單價計算；並寫明模型格式由建商依約定規格提供。</t>
    </r>
  </si>
  <si>
    <t xml:space="preserve">條件篩選、社區比較沒有列名</t>
  </si>
  <si>
    <r>
      <rPr>
        <sz val="11"/>
        <rFont val="Noto Sans CJK SC"/>
        <family val="2"/>
      </rPr>
      <t xml:space="preserve">提案簡報有「銷售狀態與條件篩選」和「比較社區與戶別資訊」，報價第一項 </t>
    </r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點裡沒有。</t>
    </r>
  </si>
  <si>
    <t xml:space="preserve">補進第一項，避免驗收時對範圍認定不同。</t>
  </si>
  <si>
    <t xml:space="preserve">第三項三件事併成一筆，且已無餘裕</t>
  </si>
  <si>
    <t xml:space="preserve">主機租期、主機規格、資安檢測種類都沒寫；新價格已低於粗估區間上限（見「合理性估算」）。</t>
  </si>
  <si>
    <t xml:space="preserve">拆成雲端（每年）和資安檢測兩筆；寫明租期、規格與檢測種類；確認資安檢測或主機是否由台灣固網負責。</t>
  </si>
  <si>
    <t xml:space="preserve">沒有保固和維運</t>
  </si>
  <si>
    <t xml:space="preserve">全案</t>
  </si>
  <si>
    <t xml:space="preserve">未寫保固期，也未寫上線後維運如何計價。</t>
  </si>
  <si>
    <r>
      <rPr>
        <sz val="11"/>
        <rFont val="Noto Sans CJK SC"/>
        <family val="2"/>
      </rPr>
      <t xml:space="preserve">至少寫明「驗收後保固 </t>
    </r>
    <r>
      <rPr>
        <sz val="11"/>
        <rFont val="Arial"/>
        <family val="0"/>
        <charset val="1"/>
      </rPr>
      <t xml:space="preserve">12 </t>
    </r>
    <r>
      <rPr>
        <sz val="11"/>
        <rFont val="Noto Sans CJK SC"/>
        <family val="2"/>
      </rPr>
      <t xml:space="preserve">個月」，維運另議或另列。</t>
    </r>
  </si>
  <si>
    <t xml:space="preserve">沒有教育訓練</t>
  </si>
  <si>
    <t xml:space="preserve">一／四</t>
  </si>
  <si>
    <t xml:space="preserve">提案時程有「測試、訓練與驗收」，報價只寫操作手冊。</t>
  </si>
  <si>
    <t xml:space="preserve">在第一項或第四項補上教育訓練場次。</t>
  </si>
  <si>
    <t xml:space="preserve">沒有無障礙要求</t>
  </si>
  <si>
    <r>
      <rPr>
        <sz val="11"/>
        <rFont val="Noto Sans CJK SC"/>
        <family val="2"/>
      </rPr>
      <t xml:space="preserve">政府網站通常需取得無障礙標章（</t>
    </r>
    <r>
      <rPr>
        <sz val="11"/>
        <rFont val="Arial"/>
        <family val="0"/>
        <charset val="1"/>
      </rPr>
      <t xml:space="preserve">AA </t>
    </r>
    <r>
      <rPr>
        <sz val="11"/>
        <rFont val="Noto Sans CJK SC"/>
        <family val="2"/>
      </rPr>
      <t xml:space="preserve">等級），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圖台達標需額外工夫。</t>
    </r>
  </si>
  <si>
    <t xml:space="preserve">在報價中明列無障礙檢測與調整，或寫明排除。</t>
  </si>
  <si>
    <t xml:space="preserve">外部資料依賴沒寫清楚</t>
  </si>
  <si>
    <r>
      <rPr>
        <sz val="11"/>
        <rFont val="Noto Sans CJK SC"/>
        <family val="2"/>
      </rPr>
      <t xml:space="preserve">一</t>
    </r>
    <r>
      <rPr>
        <sz val="11"/>
        <rFont val="Arial"/>
        <family val="0"/>
        <charset val="1"/>
      </rPr>
      <t xml:space="preserve">-6</t>
    </r>
    <r>
      <rPr>
        <sz val="11"/>
        <rFont val="Noto Sans CJK SC"/>
        <family val="2"/>
      </rPr>
      <t xml:space="preserve">、二</t>
    </r>
    <r>
      <rPr>
        <sz val="11"/>
        <rFont val="Arial"/>
        <family val="0"/>
        <charset val="1"/>
      </rPr>
      <t xml:space="preserve">-3</t>
    </r>
  </si>
  <si>
    <r>
      <rPr>
        <sz val="11"/>
        <rFont val="Noto Sans CJK SC"/>
        <family val="2"/>
      </rPr>
      <t xml:space="preserve">交易平台 </t>
    </r>
    <r>
      <rPr>
        <sz val="11"/>
        <rFont val="Arial"/>
        <family val="0"/>
        <charset val="1"/>
      </rPr>
      <t xml:space="preserve">API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720 </t>
    </r>
    <r>
      <rPr>
        <sz val="11"/>
        <rFont val="Noto Sans CJK SC"/>
        <family val="2"/>
      </rPr>
      <t xml:space="preserve">平台連結規則、地政局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建物圖層授權不在廠商控制範圍內；地政局圖層目前為非公開服務。</t>
    </r>
  </si>
  <si>
    <t xml:space="preserve">寫明由機關協調提供，或列為前提條件。</t>
  </si>
  <si>
    <t xml:space="preserve">「雜支」名稱易被質疑</t>
  </si>
  <si>
    <t xml:space="preserve">這一項沒有任何說明。</t>
  </si>
  <si>
    <t xml:space="preserve">改成「行政管理費」並列出內容，或併入專案管理。</t>
  </si>
  <si>
    <t xml:space="preserve">缺少付款條件和有效期</t>
  </si>
  <si>
    <t xml:space="preserve">報價單未載明付款方式與報價有效期限。</t>
  </si>
  <si>
    <t xml:space="preserve">依提案三階段分期付款（需求確認、雙圖台整合、驗收），並寫明有效期。</t>
  </si>
  <si>
    <t xml:space="preserve">小錯字</t>
  </si>
  <si>
    <t xml:space="preserve">一、二</t>
  </si>
  <si>
    <r>
      <rPr>
        <sz val="11"/>
        <rFont val="Noto Sans CJK SC"/>
        <family val="2"/>
      </rPr>
      <t xml:space="preserve">原報價單第二項第 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點多了冒號；第一項第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點編號格式不一致。</t>
    </r>
  </si>
  <si>
    <t xml:space="preserve">新報價單（「報價單」工作表）已修正。</t>
  </si>
  <si>
    <t xml:space="preserve">金額合理性粗估（新價格）</t>
  </si>
  <si>
    <t xml:space="preserve">人月行情與雲端／資安區間為估算假設（藍字、黃底，可調整）；綠字連結「價格對照」</t>
  </si>
  <si>
    <t xml:space="preserve">人月行情－低（元／人月）</t>
  </si>
  <si>
    <t xml:space="preserve">估算假設：台灣政府資訊案一般行情</t>
  </si>
  <si>
    <t xml:space="preserve">人月行情－高（元／人月）</t>
  </si>
  <si>
    <t xml:space="preserve">人月（高行情）</t>
  </si>
  <si>
    <t xml:space="preserve">人月（低行情）</t>
  </si>
  <si>
    <t xml:space="preserve">期間平均人力（低行情）</t>
  </si>
  <si>
    <r>
      <rPr>
        <sz val="11"/>
        <color theme="1"/>
        <rFont val="Noto Sans CJK SC"/>
        <family val="2"/>
      </rPr>
      <t xml:space="preserve">一 </t>
    </r>
    <r>
      <rPr>
        <sz val="11"/>
        <color theme="1"/>
        <rFont val="Arial"/>
        <family val="0"/>
        <charset val="1"/>
      </rPr>
      <t xml:space="preserve">2D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Arial"/>
        <family val="0"/>
        <charset val="1"/>
      </rPr>
      <t xml:space="preserve">3D </t>
    </r>
    <r>
      <rPr>
        <sz val="11"/>
        <color theme="1"/>
        <rFont val="Noto Sans CJK SC"/>
        <family val="2"/>
      </rPr>
      <t xml:space="preserve">圖台</t>
    </r>
  </si>
  <si>
    <t xml:space="preserve">二 圖層管理平台</t>
  </si>
  <si>
    <t xml:space="preserve">開發合計</t>
  </si>
  <si>
    <t xml:space="preserve">第三項（資安＋雲端）</t>
  </si>
  <si>
    <r>
      <rPr>
        <sz val="11"/>
        <color theme="1"/>
        <rFont val="Noto Sans CJK SC"/>
        <family val="2"/>
      </rPr>
      <t xml:space="preserve">雲端 </t>
    </r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Arial"/>
        <family val="0"/>
        <charset val="1"/>
      </rPr>
      <t xml:space="preserve">12 </t>
    </r>
    <r>
      <rPr>
        <sz val="11"/>
        <color theme="1"/>
        <rFont val="Noto Sans CJK SC"/>
        <family val="2"/>
      </rPr>
      <t xml:space="preserve">個月＋一輪完整資安檢測－低</t>
    </r>
  </si>
  <si>
    <t xml:space="preserve">估算假設</t>
  </si>
  <si>
    <r>
      <rPr>
        <sz val="11"/>
        <color theme="1"/>
        <rFont val="Noto Sans CJK SC"/>
        <family val="2"/>
      </rPr>
      <t xml:space="preserve">雲端 </t>
    </r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Arial"/>
        <family val="0"/>
        <charset val="1"/>
      </rPr>
      <t xml:space="preserve">12 </t>
    </r>
    <r>
      <rPr>
        <sz val="11"/>
        <color theme="1"/>
        <rFont val="Noto Sans CJK SC"/>
        <family val="2"/>
      </rPr>
      <t xml:space="preserve">個月＋一輪完整資安檢測－高</t>
    </r>
  </si>
  <si>
    <t xml:space="preserve">新價格第三項</t>
  </si>
  <si>
    <t xml:space="preserve">與估算上限的差距（負數＝低於上限）</t>
  </si>
  <si>
    <t xml:space="preserve">判讀</t>
  </si>
  <si>
    <r>
      <rPr>
        <sz val="9"/>
        <color rgb="FF6B7280"/>
        <rFont val="Noto Sans CJK SC"/>
        <family val="2"/>
      </rPr>
      <t xml:space="preserve">最可能超支的地方：</t>
    </r>
    <r>
      <rPr>
        <sz val="9"/>
        <color rgb="FF6B7280"/>
        <rFont val="Arial"/>
        <family val="0"/>
        <charset val="1"/>
      </rPr>
      <t xml:space="preserve">BIM </t>
    </r>
    <r>
      <rPr>
        <sz val="9"/>
        <color rgb="FF6B7280"/>
        <rFont val="Noto Sans CJK SC"/>
        <family val="2"/>
      </rPr>
      <t xml:space="preserve">模型數量（補強建議 </t>
    </r>
    <r>
      <rPr>
        <sz val="9"/>
        <color rgb="FF6B7280"/>
        <rFont val="Arial"/>
        <family val="0"/>
        <charset val="1"/>
      </rPr>
      <t xml:space="preserve">#1</t>
    </r>
    <r>
      <rPr>
        <sz val="9"/>
        <color rgb="FF6B7280"/>
        <rFont val="Noto Sans CJK SC"/>
        <family val="2"/>
      </rPr>
      <t xml:space="preserve">）與外部介接（補強建議 </t>
    </r>
    <r>
      <rPr>
        <sz val="9"/>
        <color rgb="FF6B7280"/>
        <rFont val="Arial"/>
        <family val="0"/>
        <charset val="1"/>
      </rPr>
      <t xml:space="preserve">#7</t>
    </r>
    <r>
      <rPr>
        <sz val="9"/>
        <color rgb="FF6B7280"/>
        <rFont val="Noto Sans CJK SC"/>
        <family val="2"/>
      </rPr>
      <t xml:space="preserve">）。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</si>
</sst>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%"/>
    <numFmt numFmtId="167" formatCode="0.0%;\-0.0%;\-"/>
    <numFmt numFmtId="168" formatCode="General"/>
    <numFmt numFmtId="169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Noto Sans CJK SC"/>
      <family val="2"/>
    </font>
    <font>
      <b val="true"/>
      <sz val="11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047857"/>
      <name val="Noto Sans CJK SC"/>
      <family val="2"/>
    </font>
    <font>
      <b val="true"/>
      <sz val="14"/>
      <color rgb="FF047857"/>
      <name val="Arial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Noto Sans CJK SC"/>
      <family val="2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theme="1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6B7280"/>
      <name val="Noto Sans CJK SC"/>
      <family val="2"/>
    </font>
    <font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CFDF5"/>
        <bgColor rgb="FFF3F4F6"/>
      </patternFill>
    </fill>
    <fill>
      <patternFill patternType="solid">
        <fgColor rgb="FF047857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D1FAE5"/>
        <bgColor rgb="FFECFDF5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ECF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ECF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4" min="3" style="0" width="6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4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/>
      <c r="C3" s="3" t="s">
        <v>2</v>
      </c>
      <c r="D3" s="3"/>
      <c r="E3" s="3"/>
      <c r="F3" s="3"/>
      <c r="G3" s="3"/>
    </row>
    <row r="4" customFormat="false" ht="21.75" hidden="false" customHeight="true" outlineLevel="0" collapsed="false">
      <c r="A4" s="2" t="s">
        <v>3</v>
      </c>
      <c r="B4" s="2"/>
      <c r="C4" s="3" t="s">
        <v>4</v>
      </c>
      <c r="D4" s="3"/>
      <c r="E4" s="3"/>
      <c r="F4" s="3"/>
      <c r="G4" s="3"/>
    </row>
    <row r="6" customFormat="false" ht="17.15" hidden="false" customHeight="false" outlineLevel="0" collapsed="false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customFormat="false" ht="174.75" hidden="false" customHeight="true" outlineLevel="0" collapsed="false">
      <c r="A7" s="5" t="s">
        <v>12</v>
      </c>
      <c r="B7" s="6" t="s">
        <v>13</v>
      </c>
      <c r="C7" s="5" t="s">
        <v>14</v>
      </c>
      <c r="D7" s="5" t="n">
        <v>1</v>
      </c>
      <c r="E7" s="7" t="n">
        <f aca="false">價格對照!C9</f>
        <v>2720000</v>
      </c>
      <c r="F7" s="7" t="n">
        <f aca="false">D7*E7</f>
        <v>2720000</v>
      </c>
      <c r="G7" s="8" t="s">
        <v>15</v>
      </c>
    </row>
    <row r="8" customFormat="false" ht="84.75" hidden="false" customHeight="true" outlineLevel="0" collapsed="false">
      <c r="A8" s="5" t="s">
        <v>16</v>
      </c>
      <c r="B8" s="9" t="s">
        <v>17</v>
      </c>
      <c r="C8" s="5" t="s">
        <v>14</v>
      </c>
      <c r="D8" s="5" t="n">
        <v>1</v>
      </c>
      <c r="E8" s="7" t="n">
        <f aca="false">價格對照!C10</f>
        <v>1700000</v>
      </c>
      <c r="F8" s="7" t="n">
        <f aca="false">D8*E8</f>
        <v>1700000</v>
      </c>
      <c r="G8" s="8" t="s">
        <v>18</v>
      </c>
    </row>
    <row r="9" customFormat="false" ht="67.5" hidden="false" customHeight="true" outlineLevel="0" collapsed="false">
      <c r="A9" s="5" t="s">
        <v>19</v>
      </c>
      <c r="B9" s="9" t="s">
        <v>20</v>
      </c>
      <c r="C9" s="5" t="s">
        <v>14</v>
      </c>
      <c r="D9" s="5" t="n">
        <v>1</v>
      </c>
      <c r="E9" s="7" t="n">
        <f aca="false">價格對照!C11</f>
        <v>1275000</v>
      </c>
      <c r="F9" s="7" t="n">
        <f aca="false">D9*E9</f>
        <v>1275000</v>
      </c>
      <c r="G9" s="8" t="s">
        <v>21</v>
      </c>
    </row>
    <row r="10" customFormat="false" ht="25.5" hidden="false" customHeight="true" outlineLevel="0" collapsed="false">
      <c r="A10" s="5" t="s">
        <v>22</v>
      </c>
      <c r="B10" s="9" t="s">
        <v>23</v>
      </c>
      <c r="C10" s="5" t="s">
        <v>14</v>
      </c>
      <c r="D10" s="5" t="n">
        <v>1</v>
      </c>
      <c r="E10" s="7" t="n">
        <f aca="false">價格對照!C12</f>
        <v>765000</v>
      </c>
      <c r="F10" s="7" t="n">
        <f aca="false">D10*E10</f>
        <v>765000</v>
      </c>
      <c r="G10" s="8"/>
    </row>
    <row r="11" customFormat="false" ht="25.5" hidden="false" customHeight="true" outlineLevel="0" collapsed="false">
      <c r="A11" s="5" t="s">
        <v>24</v>
      </c>
      <c r="B11" s="9" t="s">
        <v>25</v>
      </c>
      <c r="C11" s="5" t="s">
        <v>14</v>
      </c>
      <c r="D11" s="5" t="n">
        <v>1</v>
      </c>
      <c r="E11" s="7" t="n">
        <f aca="false">價格對照!C13</f>
        <v>425000</v>
      </c>
      <c r="F11" s="7" t="n">
        <f aca="false">D11*E11</f>
        <v>425000</v>
      </c>
      <c r="G11" s="8"/>
    </row>
    <row r="12" customFormat="false" ht="21.75" hidden="false" customHeight="true" outlineLevel="0" collapsed="false">
      <c r="A12" s="10"/>
      <c r="B12" s="10"/>
      <c r="C12" s="10"/>
      <c r="D12" s="10"/>
      <c r="E12" s="11" t="s">
        <v>26</v>
      </c>
      <c r="F12" s="12" t="n">
        <f aca="false">SUM(F7:F11)</f>
        <v>6885000</v>
      </c>
      <c r="G12" s="10"/>
    </row>
    <row r="13" customFormat="false" ht="21.75" hidden="false" customHeight="true" outlineLevel="0" collapsed="false">
      <c r="A13" s="10"/>
      <c r="B13" s="10"/>
      <c r="C13" s="10"/>
      <c r="D13" s="10"/>
      <c r="E13" s="11" t="str">
        <f aca="false">"營業稅（"&amp;TEXT(價格對照!C5,"0%")&amp;"）"</f>
        <v>營業稅（5%）</v>
      </c>
      <c r="F13" s="12" t="n">
        <f aca="false">ROUND(F12*價格對照!C5,0)</f>
        <v>344250</v>
      </c>
      <c r="G13" s="10"/>
    </row>
    <row r="14" customFormat="false" ht="21.75" hidden="false" customHeight="true" outlineLevel="0" collapsed="false">
      <c r="A14" s="13"/>
      <c r="B14" s="13"/>
      <c r="C14" s="13"/>
      <c r="D14" s="13"/>
      <c r="E14" s="2" t="s">
        <v>27</v>
      </c>
      <c r="F14" s="14" t="n">
        <f aca="false">F12+F13</f>
        <v>7229250</v>
      </c>
      <c r="G14" s="13"/>
    </row>
    <row r="16" customFormat="false" ht="15" hidden="false" customHeight="false" outlineLevel="0" collapsed="false">
      <c r="A16" s="15" t="s">
        <v>28</v>
      </c>
    </row>
    <row r="17" customFormat="false" ht="17.15" hidden="false" customHeight="false" outlineLevel="0" collapsed="false">
      <c r="A17" s="16" t="str">
        <f aca="false">"1. 本報價已依原報價讓利 "&amp;TEXT(價格對照!C4,"0%")&amp;"（打 "&amp;TEXT((1-價格對照!C4)*10,"0.0")&amp;" 折）。"</f>
        <v>1. 本報價已依原報價讓利 15%（打 8.5 折）。</v>
      </c>
      <c r="B17" s="16"/>
      <c r="C17" s="16"/>
      <c r="D17" s="16"/>
      <c r="E17" s="16"/>
      <c r="F17" s="16"/>
      <c r="G17" s="16"/>
    </row>
    <row r="18" customFormat="false" ht="17.15" hidden="false" customHeight="false" outlineLevel="0" collapsed="false">
      <c r="A18" s="16" t="s">
        <v>29</v>
      </c>
      <c r="B18" s="16"/>
      <c r="C18" s="16"/>
      <c r="D18" s="16"/>
      <c r="E18" s="16"/>
      <c r="F18" s="16"/>
      <c r="G18" s="16"/>
    </row>
    <row r="19" customFormat="false" ht="17.15" hidden="false" customHeight="false" outlineLevel="0" collapsed="false">
      <c r="A19" s="16" t="s">
        <v>30</v>
      </c>
      <c r="B19" s="16"/>
      <c r="C19" s="16"/>
      <c r="D19" s="16"/>
      <c r="E19" s="16"/>
      <c r="F19" s="16"/>
      <c r="G19" s="16"/>
    </row>
  </sheetData>
  <mergeCells count="11">
    <mergeCell ref="A1:G1"/>
    <mergeCell ref="A3:B3"/>
    <mergeCell ref="C3:G3"/>
    <mergeCell ref="A4:B4"/>
    <mergeCell ref="C4:G4"/>
    <mergeCell ref="A12:D12"/>
    <mergeCell ref="A13:D13"/>
    <mergeCell ref="A14:D14"/>
    <mergeCell ref="A17:G17"/>
    <mergeCell ref="A18:G18"/>
    <mergeCell ref="A19:G19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6"/>
  </cols>
  <sheetData>
    <row r="1" customFormat="false" ht="21.6" hidden="false" customHeight="false" outlineLevel="0" collapsed="false">
      <c r="A1" s="17" t="s">
        <v>31</v>
      </c>
    </row>
    <row r="2" customFormat="false" ht="15" hidden="false" customHeight="false" outlineLevel="0" collapsed="false">
      <c r="A2" s="18" t="s">
        <v>32</v>
      </c>
    </row>
    <row r="4" customFormat="false" ht="17.15" hidden="false" customHeight="false" outlineLevel="0" collapsed="false">
      <c r="A4" s="15" t="s">
        <v>33</v>
      </c>
      <c r="C4" s="19" t="n">
        <v>0.15</v>
      </c>
      <c r="D4" s="15" t="str">
        <f aca="false">"打 "&amp;TEXT((1-C4)*10,"0.0")&amp;" 折"</f>
        <v>打 8.5 折</v>
      </c>
    </row>
    <row r="5" customFormat="false" ht="15" hidden="false" customHeight="false" outlineLevel="0" collapsed="false">
      <c r="A5" s="15" t="s">
        <v>34</v>
      </c>
      <c r="C5" s="20" t="n">
        <v>0.05</v>
      </c>
    </row>
    <row r="6" customFormat="false" ht="15" hidden="false" customHeight="false" outlineLevel="0" collapsed="false">
      <c r="A6" s="15" t="s">
        <v>35</v>
      </c>
      <c r="C6" s="21" t="n">
        <v>10</v>
      </c>
    </row>
    <row r="8" customFormat="false" ht="17.15" hidden="false" customHeight="false" outlineLevel="0" collapsed="false">
      <c r="A8" s="4" t="s">
        <v>5</v>
      </c>
      <c r="B8" s="4" t="s">
        <v>6</v>
      </c>
      <c r="C8" s="22" t="s">
        <v>36</v>
      </c>
      <c r="D8" s="23" t="s">
        <v>37</v>
      </c>
      <c r="E8" s="22" t="s">
        <v>38</v>
      </c>
      <c r="F8" s="22" t="s">
        <v>39</v>
      </c>
    </row>
    <row r="9" customFormat="false" ht="17.15" hidden="false" customHeight="false" outlineLevel="0" collapsed="false">
      <c r="A9" s="24" t="s">
        <v>12</v>
      </c>
      <c r="B9" s="25" t="s">
        <v>40</v>
      </c>
      <c r="C9" s="26" t="n">
        <f aca="false">ROUND(E9*(1-$C$4),0)</f>
        <v>2720000</v>
      </c>
      <c r="D9" s="27" t="n">
        <f aca="false">IF($C$14=0,0,C9/$C$14)</f>
        <v>0.395061728395062</v>
      </c>
      <c r="E9" s="28" t="n">
        <v>3200000</v>
      </c>
      <c r="F9" s="29" t="n">
        <f aca="false">E9-C9</f>
        <v>480000</v>
      </c>
    </row>
    <row r="10" customFormat="false" ht="15" hidden="false" customHeight="false" outlineLevel="0" collapsed="false">
      <c r="A10" s="24" t="s">
        <v>16</v>
      </c>
      <c r="B10" s="24" t="s">
        <v>17</v>
      </c>
      <c r="C10" s="26" t="n">
        <f aca="false">ROUND(E10*(1-$C$4),0)</f>
        <v>1700000</v>
      </c>
      <c r="D10" s="27" t="n">
        <f aca="false">IF($C$14=0,0,C10/$C$14)</f>
        <v>0.246913580246914</v>
      </c>
      <c r="E10" s="28" t="n">
        <v>2000000</v>
      </c>
      <c r="F10" s="29" t="n">
        <f aca="false">E10-C10</f>
        <v>300000</v>
      </c>
    </row>
    <row r="11" customFormat="false" ht="15" hidden="false" customHeight="false" outlineLevel="0" collapsed="false">
      <c r="A11" s="24" t="s">
        <v>19</v>
      </c>
      <c r="B11" s="24" t="s">
        <v>20</v>
      </c>
      <c r="C11" s="26" t="n">
        <f aca="false">ROUND(E11*(1-$C$4),0)</f>
        <v>1275000</v>
      </c>
      <c r="D11" s="27" t="n">
        <f aca="false">IF($C$14=0,0,C11/$C$14)</f>
        <v>0.185185185185185</v>
      </c>
      <c r="E11" s="28" t="n">
        <v>1500000</v>
      </c>
      <c r="F11" s="29" t="n">
        <f aca="false">E11-C11</f>
        <v>225000</v>
      </c>
    </row>
    <row r="12" customFormat="false" ht="15" hidden="false" customHeight="false" outlineLevel="0" collapsed="false">
      <c r="A12" s="24" t="s">
        <v>22</v>
      </c>
      <c r="B12" s="24" t="s">
        <v>23</v>
      </c>
      <c r="C12" s="26" t="n">
        <f aca="false">ROUND(E12*(1-$C$4),0)</f>
        <v>765000</v>
      </c>
      <c r="D12" s="27" t="n">
        <f aca="false">IF($C$14=0,0,C12/$C$14)</f>
        <v>0.111111111111111</v>
      </c>
      <c r="E12" s="28" t="n">
        <v>900000</v>
      </c>
      <c r="F12" s="29" t="n">
        <f aca="false">E12-C12</f>
        <v>135000</v>
      </c>
    </row>
    <row r="13" customFormat="false" ht="15" hidden="false" customHeight="false" outlineLevel="0" collapsed="false">
      <c r="A13" s="24" t="s">
        <v>24</v>
      </c>
      <c r="B13" s="24" t="s">
        <v>25</v>
      </c>
      <c r="C13" s="26" t="n">
        <f aca="false">ROUND(E13*(1-$C$4),0)</f>
        <v>425000</v>
      </c>
      <c r="D13" s="27" t="n">
        <f aca="false">IF($C$14=0,0,C13/$C$14)</f>
        <v>0.0617283950617284</v>
      </c>
      <c r="E13" s="28" t="n">
        <v>500000</v>
      </c>
      <c r="F13" s="29" t="n">
        <f aca="false">E13-C13</f>
        <v>75000</v>
      </c>
    </row>
    <row r="14" customFormat="false" ht="15" hidden="false" customHeight="false" outlineLevel="0" collapsed="false">
      <c r="A14" s="30"/>
      <c r="B14" s="31" t="s">
        <v>26</v>
      </c>
      <c r="C14" s="32" t="n">
        <f aca="false">SUM(C9:C13)</f>
        <v>6885000</v>
      </c>
      <c r="D14" s="33" t="n">
        <f aca="false">SUM(D9:D13)</f>
        <v>1</v>
      </c>
      <c r="E14" s="34" t="n">
        <f aca="false">SUM(E9:E13)</f>
        <v>8100000</v>
      </c>
      <c r="F14" s="34" t="n">
        <f aca="false">SUM(F9:F13)</f>
        <v>1215000</v>
      </c>
    </row>
    <row r="15" customFormat="false" ht="15" hidden="false" customHeight="false" outlineLevel="0" collapsed="false">
      <c r="A15" s="24"/>
      <c r="B15" s="24" t="s">
        <v>41</v>
      </c>
      <c r="C15" s="26" t="n">
        <f aca="false">ROUND(C14*$C$5,0)</f>
        <v>344250</v>
      </c>
      <c r="D15" s="27"/>
      <c r="E15" s="29" t="n">
        <f aca="false">ROUND(E14*$C$5,0)</f>
        <v>405000</v>
      </c>
      <c r="F15" s="29" t="n">
        <f aca="false">E15-C15</f>
        <v>60750</v>
      </c>
    </row>
    <row r="16" customFormat="false" ht="15" hidden="false" customHeight="false" outlineLevel="0" collapsed="false">
      <c r="A16" s="30"/>
      <c r="B16" s="31" t="s">
        <v>42</v>
      </c>
      <c r="C16" s="32" t="n">
        <f aca="false">C14+C15</f>
        <v>7229250</v>
      </c>
      <c r="D16" s="33"/>
      <c r="E16" s="34" t="n">
        <f aca="false">E14+E15</f>
        <v>8505000</v>
      </c>
      <c r="F16" s="34" t="n">
        <f aca="false">E16-C16</f>
        <v>1275750</v>
      </c>
    </row>
    <row r="17" customFormat="false" ht="15" hidden="false" customHeight="false" outlineLevel="0" collapsed="false">
      <c r="A17" s="24"/>
      <c r="B17" s="24" t="s">
        <v>43</v>
      </c>
      <c r="C17" s="29"/>
      <c r="D17" s="27"/>
      <c r="E17" s="28" t="n">
        <v>8505000</v>
      </c>
      <c r="F17" s="29"/>
    </row>
    <row r="18" customFormat="false" ht="17.15" hidden="false" customHeight="false" outlineLevel="0" collapsed="false">
      <c r="A18" s="24"/>
      <c r="B18" s="24" t="s">
        <v>44</v>
      </c>
      <c r="C18" s="29"/>
      <c r="D18" s="27"/>
      <c r="E18" s="29" t="n">
        <f aca="false">E16-E17</f>
        <v>0</v>
      </c>
      <c r="F18" s="29"/>
    </row>
    <row r="20" customFormat="false" ht="15" hidden="false" customHeight="false" outlineLevel="0" collapsed="false">
      <c r="A20" s="15" t="s">
        <v>45</v>
      </c>
    </row>
    <row r="21" customFormat="false" ht="17.15" hidden="false" customHeight="false" outlineLevel="0" collapsed="false">
      <c r="A21" s="4"/>
      <c r="B21" s="4" t="s">
        <v>46</v>
      </c>
      <c r="C21" s="22" t="s">
        <v>36</v>
      </c>
      <c r="D21" s="23" t="s">
        <v>37</v>
      </c>
      <c r="E21" s="22" t="s">
        <v>38</v>
      </c>
      <c r="F21" s="22" t="s">
        <v>47</v>
      </c>
    </row>
    <row r="22" customFormat="false" ht="15" hidden="false" customHeight="false" outlineLevel="0" collapsed="false">
      <c r="A22" s="24"/>
      <c r="B22" s="24" t="s">
        <v>48</v>
      </c>
      <c r="C22" s="29" t="n">
        <f aca="false">C9+C10</f>
        <v>4420000</v>
      </c>
      <c r="D22" s="27" t="n">
        <f aca="false">IF($C$14=0,0,C22/$C$14)</f>
        <v>0.641975308641975</v>
      </c>
      <c r="E22" s="29" t="n">
        <f aca="false">E9+E10</f>
        <v>5200000</v>
      </c>
      <c r="F22" s="29" t="n">
        <f aca="false">E22-C22</f>
        <v>780000</v>
      </c>
    </row>
    <row r="23" customFormat="false" ht="15" hidden="false" customHeight="false" outlineLevel="0" collapsed="false">
      <c r="A23" s="24"/>
      <c r="B23" s="24" t="s">
        <v>49</v>
      </c>
      <c r="C23" s="29" t="n">
        <f aca="false">C11</f>
        <v>1275000</v>
      </c>
      <c r="D23" s="27" t="n">
        <f aca="false">IF($C$14=0,0,C23/$C$14)</f>
        <v>0.185185185185185</v>
      </c>
      <c r="E23" s="29" t="n">
        <f aca="false">E11</f>
        <v>1500000</v>
      </c>
      <c r="F23" s="29" t="n">
        <f aca="false">E23-C23</f>
        <v>225000</v>
      </c>
    </row>
    <row r="24" customFormat="false" ht="15" hidden="false" customHeight="false" outlineLevel="0" collapsed="false">
      <c r="A24" s="24"/>
      <c r="B24" s="24" t="s">
        <v>50</v>
      </c>
      <c r="C24" s="29" t="n">
        <f aca="false">C12+C13</f>
        <v>1190000</v>
      </c>
      <c r="D24" s="27" t="n">
        <f aca="false">IF($C$14=0,0,C24/$C$14)</f>
        <v>0.17283950617284</v>
      </c>
      <c r="E24" s="29" t="n">
        <f aca="false">E12+E13</f>
        <v>1400000</v>
      </c>
      <c r="F24" s="29" t="n">
        <f aca="false">E24-C24</f>
        <v>210000</v>
      </c>
    </row>
    <row r="25" customFormat="false" ht="15" hidden="false" customHeight="false" outlineLevel="0" collapsed="false">
      <c r="A25" s="24"/>
      <c r="B25" s="24" t="s">
        <v>51</v>
      </c>
      <c r="C25" s="29" t="n">
        <f aca="false">IF($C$6=0,0,C14/$C$6)</f>
        <v>688500</v>
      </c>
      <c r="D25" s="27"/>
      <c r="E25" s="29" t="n">
        <f aca="false">IF($C$6=0,0,E14/$C$6)</f>
        <v>810000</v>
      </c>
      <c r="F25" s="29" t="n">
        <f aca="false">E25-C25</f>
        <v>121500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28"/>
    <col collapsed="false" customWidth="true" hidden="false" outlineLevel="0" max="5" min="5" style="0" width="46"/>
  </cols>
  <sheetData>
    <row r="1" customFormat="false" ht="21.6" hidden="false" customHeight="false" outlineLevel="0" collapsed="false">
      <c r="A1" s="17" t="s">
        <v>52</v>
      </c>
    </row>
    <row r="2" customFormat="false" ht="15" hidden="false" customHeight="false" outlineLevel="0" collapsed="false">
      <c r="A2" s="35" t="s">
        <v>53</v>
      </c>
    </row>
    <row r="4" customFormat="false" ht="17.15" hidden="false" customHeight="false" outlineLevel="0" collapsed="false">
      <c r="A4" s="4" t="s">
        <v>54</v>
      </c>
      <c r="B4" s="4" t="s">
        <v>55</v>
      </c>
      <c r="C4" s="4" t="s">
        <v>36</v>
      </c>
      <c r="D4" s="36" t="s">
        <v>56</v>
      </c>
      <c r="E4" s="4" t="s">
        <v>57</v>
      </c>
    </row>
    <row r="5" customFormat="false" ht="17.15" hidden="false" customHeight="false" outlineLevel="0" collapsed="false">
      <c r="A5" s="9" t="s">
        <v>58</v>
      </c>
      <c r="B5" s="9" t="s">
        <v>59</v>
      </c>
      <c r="C5" s="37" t="n">
        <f aca="false">價格對照!C9</f>
        <v>2720000</v>
      </c>
      <c r="D5" s="38" t="s">
        <v>60</v>
      </c>
      <c r="E5" s="9" t="s">
        <v>61</v>
      </c>
    </row>
    <row r="6" customFormat="false" ht="17.15" hidden="false" customHeight="false" outlineLevel="0" collapsed="false">
      <c r="A6" s="9" t="s">
        <v>62</v>
      </c>
      <c r="B6" s="9" t="s">
        <v>63</v>
      </c>
      <c r="C6" s="37"/>
      <c r="D6" s="39" t="s">
        <v>64</v>
      </c>
      <c r="E6" s="9" t="s">
        <v>65</v>
      </c>
    </row>
    <row r="7" customFormat="false" ht="17.15" hidden="false" customHeight="false" outlineLevel="0" collapsed="false">
      <c r="A7" s="9" t="s">
        <v>66</v>
      </c>
      <c r="B7" s="9" t="s">
        <v>67</v>
      </c>
      <c r="C7" s="37"/>
      <c r="D7" s="38" t="s">
        <v>68</v>
      </c>
      <c r="E7" s="9" t="s">
        <v>69</v>
      </c>
    </row>
    <row r="8" customFormat="false" ht="17.15" hidden="false" customHeight="false" outlineLevel="0" collapsed="false">
      <c r="A8" s="9" t="s">
        <v>70</v>
      </c>
      <c r="B8" s="9" t="s">
        <v>71</v>
      </c>
      <c r="C8" s="37"/>
      <c r="D8" s="39" t="s">
        <v>72</v>
      </c>
      <c r="E8" s="9" t="s">
        <v>73</v>
      </c>
    </row>
    <row r="9" customFormat="false" ht="17.15" hidden="false" customHeight="false" outlineLevel="0" collapsed="false">
      <c r="A9" s="9" t="s">
        <v>74</v>
      </c>
      <c r="B9" s="9" t="s">
        <v>75</v>
      </c>
      <c r="C9" s="37"/>
      <c r="D9" s="39" t="s">
        <v>76</v>
      </c>
      <c r="E9" s="9" t="s">
        <v>77</v>
      </c>
    </row>
    <row r="10" customFormat="false" ht="17.15" hidden="false" customHeight="false" outlineLevel="0" collapsed="false">
      <c r="A10" s="9" t="s">
        <v>78</v>
      </c>
      <c r="B10" s="9" t="s">
        <v>79</v>
      </c>
      <c r="C10" s="37"/>
      <c r="D10" s="38" t="s">
        <v>68</v>
      </c>
      <c r="E10" s="9" t="s">
        <v>80</v>
      </c>
    </row>
    <row r="11" customFormat="false" ht="32.8" hidden="false" customHeight="false" outlineLevel="0" collapsed="false">
      <c r="A11" s="9" t="s">
        <v>81</v>
      </c>
      <c r="B11" s="6" t="s">
        <v>82</v>
      </c>
      <c r="C11" s="37"/>
      <c r="D11" s="40" t="s">
        <v>83</v>
      </c>
      <c r="E11" s="9" t="s">
        <v>84</v>
      </c>
    </row>
    <row r="12" customFormat="false" ht="17.15" hidden="false" customHeight="false" outlineLevel="0" collapsed="false">
      <c r="A12" s="9" t="s">
        <v>16</v>
      </c>
      <c r="B12" s="9" t="s">
        <v>85</v>
      </c>
      <c r="C12" s="37" t="n">
        <f aca="false">價格對照!C10</f>
        <v>1700000</v>
      </c>
      <c r="D12" s="39" t="s">
        <v>86</v>
      </c>
      <c r="E12" s="9" t="s">
        <v>87</v>
      </c>
    </row>
    <row r="13" customFormat="false" ht="17.15" hidden="false" customHeight="false" outlineLevel="0" collapsed="false">
      <c r="A13" s="9" t="s">
        <v>19</v>
      </c>
      <c r="B13" s="9" t="s">
        <v>88</v>
      </c>
      <c r="C13" s="37" t="n">
        <f aca="false">價格對照!C11</f>
        <v>1275000</v>
      </c>
      <c r="D13" s="40" t="s">
        <v>83</v>
      </c>
      <c r="E13" s="9" t="s">
        <v>84</v>
      </c>
    </row>
    <row r="15" customFormat="false" ht="15" hidden="false" customHeight="false" outlineLevel="0" collapsed="false">
      <c r="A15" s="4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6" min="5" style="0" width="48"/>
  </cols>
  <sheetData>
    <row r="1" customFormat="false" ht="17.35" hidden="false" customHeight="false" outlineLevel="0" collapsed="false">
      <c r="A1" s="17" t="s">
        <v>90</v>
      </c>
    </row>
    <row r="2" customFormat="false" ht="15" hidden="false" customHeight="false" outlineLevel="0" collapsed="false">
      <c r="A2" s="18" t="s">
        <v>91</v>
      </c>
    </row>
    <row r="4" customFormat="false" ht="32.8" hidden="false" customHeight="false" outlineLevel="0" collapsed="false">
      <c r="A4" s="36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</row>
    <row r="5" customFormat="false" ht="49.5" hidden="false" customHeight="true" outlineLevel="0" collapsed="false">
      <c r="A5" s="9" t="n">
        <v>1</v>
      </c>
      <c r="B5" s="6" t="s">
        <v>98</v>
      </c>
      <c r="C5" s="9" t="s">
        <v>62</v>
      </c>
      <c r="D5" s="37" t="n">
        <f aca="false">價格對照!C9</f>
        <v>2720000</v>
      </c>
      <c r="E5" s="9" t="s">
        <v>99</v>
      </c>
      <c r="F5" s="9" t="s">
        <v>100</v>
      </c>
    </row>
    <row r="6" customFormat="false" ht="49.5" hidden="false" customHeight="true" outlineLevel="0" collapsed="false">
      <c r="A6" s="9" t="n">
        <v>2</v>
      </c>
      <c r="B6" s="9" t="s">
        <v>101</v>
      </c>
      <c r="C6" s="9" t="s">
        <v>12</v>
      </c>
      <c r="D6" s="37" t="n">
        <f aca="false">價格對照!C9</f>
        <v>2720000</v>
      </c>
      <c r="E6" s="9" t="s">
        <v>102</v>
      </c>
      <c r="F6" s="9" t="s">
        <v>103</v>
      </c>
    </row>
    <row r="7" customFormat="false" ht="49.5" hidden="false" customHeight="true" outlineLevel="0" collapsed="false">
      <c r="A7" s="9" t="n">
        <v>3</v>
      </c>
      <c r="B7" s="9" t="s">
        <v>104</v>
      </c>
      <c r="C7" s="9" t="s">
        <v>19</v>
      </c>
      <c r="D7" s="37" t="n">
        <f aca="false">價格對照!C11</f>
        <v>1275000</v>
      </c>
      <c r="E7" s="9" t="s">
        <v>105</v>
      </c>
      <c r="F7" s="9" t="s">
        <v>106</v>
      </c>
    </row>
    <row r="8" customFormat="false" ht="49.5" hidden="false" customHeight="true" outlineLevel="0" collapsed="false">
      <c r="A8" s="9" t="n">
        <v>4</v>
      </c>
      <c r="B8" s="9" t="s">
        <v>107</v>
      </c>
      <c r="C8" s="9" t="s">
        <v>108</v>
      </c>
      <c r="D8" s="7"/>
      <c r="E8" s="9" t="s">
        <v>109</v>
      </c>
      <c r="F8" s="9" t="s">
        <v>110</v>
      </c>
    </row>
    <row r="9" customFormat="false" ht="49.5" hidden="false" customHeight="true" outlineLevel="0" collapsed="false">
      <c r="A9" s="9" t="n">
        <v>5</v>
      </c>
      <c r="B9" s="9" t="s">
        <v>111</v>
      </c>
      <c r="C9" s="9" t="s">
        <v>112</v>
      </c>
      <c r="D9" s="7"/>
      <c r="E9" s="9" t="s">
        <v>113</v>
      </c>
      <c r="F9" s="9" t="s">
        <v>114</v>
      </c>
    </row>
    <row r="10" customFormat="false" ht="49.5" hidden="false" customHeight="true" outlineLevel="0" collapsed="false">
      <c r="A10" s="9" t="n">
        <v>6</v>
      </c>
      <c r="B10" s="9" t="s">
        <v>115</v>
      </c>
      <c r="C10" s="9" t="s">
        <v>12</v>
      </c>
      <c r="D10" s="7"/>
      <c r="E10" s="9" t="s">
        <v>116</v>
      </c>
      <c r="F10" s="9" t="s">
        <v>117</v>
      </c>
    </row>
    <row r="11" customFormat="false" ht="49.5" hidden="false" customHeight="true" outlineLevel="0" collapsed="false">
      <c r="A11" s="9" t="n">
        <v>7</v>
      </c>
      <c r="B11" s="9" t="s">
        <v>118</v>
      </c>
      <c r="C11" s="9" t="s">
        <v>119</v>
      </c>
      <c r="D11" s="7"/>
      <c r="E11" s="9" t="s">
        <v>120</v>
      </c>
      <c r="F11" s="9" t="s">
        <v>121</v>
      </c>
    </row>
    <row r="12" customFormat="false" ht="49.5" hidden="false" customHeight="true" outlineLevel="0" collapsed="false">
      <c r="A12" s="9" t="n">
        <v>8</v>
      </c>
      <c r="B12" s="9" t="s">
        <v>122</v>
      </c>
      <c r="C12" s="9" t="s">
        <v>24</v>
      </c>
      <c r="D12" s="37" t="n">
        <f aca="false">價格對照!C13</f>
        <v>425000</v>
      </c>
      <c r="E12" s="9" t="s">
        <v>123</v>
      </c>
      <c r="F12" s="9" t="s">
        <v>124</v>
      </c>
    </row>
    <row r="13" customFormat="false" ht="49.5" hidden="false" customHeight="true" outlineLevel="0" collapsed="false">
      <c r="A13" s="9" t="n">
        <v>9</v>
      </c>
      <c r="B13" s="9" t="s">
        <v>125</v>
      </c>
      <c r="C13" s="9" t="s">
        <v>108</v>
      </c>
      <c r="D13" s="7"/>
      <c r="E13" s="9" t="s">
        <v>126</v>
      </c>
      <c r="F13" s="9" t="s">
        <v>127</v>
      </c>
    </row>
    <row r="14" customFormat="false" ht="49.5" hidden="false" customHeight="true" outlineLevel="0" collapsed="false">
      <c r="A14" s="9" t="n">
        <v>10</v>
      </c>
      <c r="B14" s="9" t="s">
        <v>128</v>
      </c>
      <c r="C14" s="9" t="s">
        <v>129</v>
      </c>
      <c r="D14" s="7"/>
      <c r="E14" s="9" t="s">
        <v>130</v>
      </c>
      <c r="F14" s="9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7" t="s">
        <v>132</v>
      </c>
    </row>
    <row r="2" customFormat="false" ht="15" hidden="false" customHeight="false" outlineLevel="0" collapsed="false">
      <c r="A2" s="18" t="s">
        <v>133</v>
      </c>
    </row>
    <row r="4" customFormat="false" ht="15" hidden="false" customHeight="false" outlineLevel="0" collapsed="false">
      <c r="A4" s="42" t="s">
        <v>134</v>
      </c>
      <c r="B4" s="43" t="n">
        <v>150000</v>
      </c>
      <c r="C4" s="42" t="s">
        <v>135</v>
      </c>
    </row>
    <row r="5" customFormat="false" ht="15" hidden="false" customHeight="false" outlineLevel="0" collapsed="false">
      <c r="A5" s="42" t="s">
        <v>136</v>
      </c>
      <c r="B5" s="43" t="n">
        <v>180000</v>
      </c>
      <c r="C5" s="42" t="s">
        <v>135</v>
      </c>
    </row>
    <row r="6" customFormat="false" ht="15" hidden="false" customHeight="false" outlineLevel="0" collapsed="false">
      <c r="A6" s="42" t="s">
        <v>35</v>
      </c>
      <c r="B6" s="44" t="n">
        <f aca="false">價格對照!C6</f>
        <v>10</v>
      </c>
      <c r="C6" s="42"/>
    </row>
    <row r="7" customFormat="false" ht="15" hidden="false" customHeight="false" outlineLevel="0" collapsed="false">
      <c r="A7" s="42"/>
      <c r="B7" s="42"/>
      <c r="C7" s="42"/>
    </row>
    <row r="8" customFormat="false" ht="17.15" hidden="false" customHeight="false" outlineLevel="0" collapsed="false">
      <c r="A8" s="4" t="s">
        <v>6</v>
      </c>
      <c r="B8" s="22" t="s">
        <v>36</v>
      </c>
      <c r="C8" s="45" t="s">
        <v>137</v>
      </c>
      <c r="D8" s="45" t="s">
        <v>138</v>
      </c>
      <c r="E8" s="45" t="s">
        <v>139</v>
      </c>
    </row>
    <row r="9" customFormat="false" ht="17.15" hidden="false" customHeight="false" outlineLevel="0" collapsed="false">
      <c r="A9" s="24" t="s">
        <v>140</v>
      </c>
      <c r="B9" s="46" t="n">
        <f aca="false">價格對照!C9</f>
        <v>2720000</v>
      </c>
      <c r="C9" s="47" t="n">
        <f aca="false">IF($B$5=0,0,B9/$B$5)</f>
        <v>15.1111111111111</v>
      </c>
      <c r="D9" s="47" t="n">
        <f aca="false">IF($B$4=0,0,B9/$B$4)</f>
        <v>18.1333333333333</v>
      </c>
      <c r="E9" s="47" t="n">
        <f aca="false">IF($B$6=0,0,D9/$B$6)</f>
        <v>1.81333333333333</v>
      </c>
    </row>
    <row r="10" customFormat="false" ht="15" hidden="false" customHeight="false" outlineLevel="0" collapsed="false">
      <c r="A10" s="24" t="s">
        <v>141</v>
      </c>
      <c r="B10" s="46" t="n">
        <f aca="false">價格對照!C10</f>
        <v>1700000</v>
      </c>
      <c r="C10" s="47" t="n">
        <f aca="false">IF($B$5=0,0,B10/$B$5)</f>
        <v>9.44444444444445</v>
      </c>
      <c r="D10" s="47" t="n">
        <f aca="false">IF($B$4=0,0,B10/$B$4)</f>
        <v>11.3333333333333</v>
      </c>
      <c r="E10" s="47" t="n">
        <f aca="false">IF($B$6=0,0,D10/$B$6)</f>
        <v>1.13333333333333</v>
      </c>
    </row>
    <row r="11" customFormat="false" ht="15" hidden="false" customHeight="false" outlineLevel="0" collapsed="false">
      <c r="A11" s="48" t="s">
        <v>142</v>
      </c>
      <c r="B11" s="49" t="n">
        <f aca="false">SUM(B9:B10)</f>
        <v>4420000</v>
      </c>
      <c r="C11" s="50" t="n">
        <f aca="false">SUM(C9:C10)</f>
        <v>24.5555555555556</v>
      </c>
      <c r="D11" s="50" t="n">
        <f aca="false">SUM(D9:D10)</f>
        <v>29.4666666666667</v>
      </c>
      <c r="E11" s="50" t="n">
        <f aca="false">SUM(E9:E10)</f>
        <v>2.94666666666667</v>
      </c>
    </row>
    <row r="12" customFormat="false" ht="15" hidden="false" customHeight="false" outlineLevel="0" collapsed="false">
      <c r="A12" s="42"/>
      <c r="B12" s="42"/>
      <c r="C12" s="42"/>
    </row>
    <row r="13" customFormat="false" ht="15" hidden="false" customHeight="false" outlineLevel="0" collapsed="false">
      <c r="A13" s="15" t="s">
        <v>143</v>
      </c>
      <c r="B13" s="42"/>
      <c r="C13" s="42"/>
    </row>
    <row r="14" customFormat="false" ht="17.15" hidden="false" customHeight="false" outlineLevel="0" collapsed="false">
      <c r="A14" s="42" t="s">
        <v>144</v>
      </c>
      <c r="B14" s="43" t="n">
        <v>700000</v>
      </c>
      <c r="C14" s="42" t="s">
        <v>145</v>
      </c>
    </row>
    <row r="15" customFormat="false" ht="17.15" hidden="false" customHeight="false" outlineLevel="0" collapsed="false">
      <c r="A15" s="42" t="s">
        <v>146</v>
      </c>
      <c r="B15" s="43" t="n">
        <v>1300000</v>
      </c>
      <c r="C15" s="42" t="s">
        <v>145</v>
      </c>
    </row>
    <row r="16" customFormat="false" ht="15" hidden="false" customHeight="false" outlineLevel="0" collapsed="false">
      <c r="A16" s="42" t="s">
        <v>147</v>
      </c>
      <c r="B16" s="51" t="n">
        <f aca="false">價格對照!C11</f>
        <v>1275000</v>
      </c>
      <c r="C16" s="42"/>
    </row>
    <row r="17" customFormat="false" ht="15" hidden="false" customHeight="false" outlineLevel="0" collapsed="false">
      <c r="A17" s="42" t="s">
        <v>148</v>
      </c>
      <c r="B17" s="52" t="n">
        <f aca="false">B16-B15</f>
        <v>-25000</v>
      </c>
      <c r="C17" s="42"/>
    </row>
    <row r="18" customFormat="false" ht="15" hidden="false" customHeight="false" outlineLevel="0" collapsed="false">
      <c r="A18" s="42" t="s">
        <v>149</v>
      </c>
      <c r="B18" s="42" t="str">
        <f aca="false">IF(B16&lt;B14,"低於估算下限，風險高",IF(B16&lt;B15,"在估算區間內，無餘裕","高於估算上限，有餘裕"))</f>
        <v>在估算區間內，無餘裕</v>
      </c>
      <c r="C18" s="42"/>
    </row>
    <row r="20" customFormat="false" ht="15" hidden="false" customHeight="false" outlineLevel="0" collapsed="false">
      <c r="A20" s="4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2026-10-15T17:10:37Z</dcterms:created>
  <dc:creator>openpyxl</dc:creator>
  <dc:description/>
  <dc:language>en-US</dc:language>
  <cp:lastModifiedBy/>
  <dcterms:modified xsi:type="dcterms:W3CDTF">2026-10-15T17:10:37Z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